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Inputs" sheetId="2" r:id="rId5"/>
    <sheet state="visible" name="Phase 1 Metrics" sheetId="3" r:id="rId6"/>
    <sheet state="visible" name="Risk Quantification" sheetId="4" r:id="rId7"/>
    <sheet state="visible" name="Controls &amp; ROI" sheetId="5" r:id="rId8"/>
    <sheet state="visible" name="Statistical Analysis" sheetId="6" r:id="rId9"/>
    <sheet state="visible" name="Risk Matrix" sheetId="7" r:id="rId10"/>
    <sheet state="visible" name="Break-even" sheetId="8" r:id="rId11"/>
  </sheets>
  <definedNames/>
  <calcPr/>
  <extLst>
    <ext uri="GoogleSheetsCustomDataVersion2">
      <go:sheetsCustomData xmlns:go="http://customooxmlschemas.google.com/" r:id="rId12" roundtripDataChecksum="FHivsOuSCud9mXpIg+2WWyTRffyYjdNEDXv01fzSGoE="/>
    </ext>
  </extLst>
</workbook>
</file>

<file path=xl/sharedStrings.xml><?xml version="1.0" encoding="utf-8"?>
<sst xmlns="http://schemas.openxmlformats.org/spreadsheetml/2006/main" count="145" uniqueCount="135">
  <si>
    <t>GLOBALTECH INC. — PHISHING RISK ANALYSIS</t>
  </si>
  <si>
    <t>Purpose</t>
  </si>
  <si>
    <t>Independent analysis of three supplied phishing simulations.</t>
  </si>
  <si>
    <t>Rate definitions</t>
  </si>
  <si>
    <t>Basic rates use emails sent as denominator; conversion rates use the preceding attack stage.</t>
  </si>
  <si>
    <t>Scenario assumptions</t>
  </si>
  <si>
    <t>$4.35m breach cost, 25% conditional probability and control-effectiveness values are supplied assumptions, not verified benchmarks.</t>
  </si>
  <si>
    <t>ALE limitation</t>
  </si>
  <si>
    <t>One quarter of simulation data does not establish annual occurrence frequency. $652.5m is scenario expected loss, not validated annual ALE.</t>
  </si>
  <si>
    <t>Incident aggregation</t>
  </si>
  <si>
    <t>Compromised accounts are not automatically separate breach incidents. Per-account incident modelling is a simplified scenario.</t>
  </si>
  <si>
    <t>Training caveat</t>
  </si>
  <si>
    <t>The brief states a 60% click-rate reduction. That does not automatically establish a 60% reduction in credential submission.</t>
  </si>
  <si>
    <t>ROI definition</t>
  </si>
  <si>
    <t>Simple ROI = (gross modelled risk reduction − upfront cost) / upfront cost. Excludes recurring costs and overlapping-control uncertainty.</t>
  </si>
  <si>
    <t>Input</t>
  </si>
  <si>
    <t>Campaign A</t>
  </si>
  <si>
    <t>Campaign B</t>
  </si>
  <si>
    <t>Campaign C</t>
  </si>
  <si>
    <t>Organisation / scenario</t>
  </si>
  <si>
    <t>Target group</t>
  </si>
  <si>
    <t>Emails sent</t>
  </si>
  <si>
    <t>Emails opened</t>
  </si>
  <si>
    <t>Links clicked</t>
  </si>
  <si>
    <t>Credentials submitted</t>
  </si>
  <si>
    <t>Data entry points</t>
  </si>
  <si>
    <t>Average salary (USD)</t>
  </si>
  <si>
    <t>Cost per breach (USD)</t>
  </si>
  <si>
    <t>Probability of major breach if credentials stolen</t>
  </si>
  <si>
    <t>MFA cost per user (USD)</t>
  </si>
  <si>
    <t>MFA effectiveness</t>
  </si>
  <si>
    <t>Training cost per user (USD)</t>
  </si>
  <si>
    <t>Training effectiveness</t>
  </si>
  <si>
    <t>Email filtering cost (USD)</t>
  </si>
  <si>
    <t>Email filtering effectiveness (illustrative)</t>
  </si>
  <si>
    <t>Total proposed investment (USD)</t>
  </si>
  <si>
    <t>Metric</t>
  </si>
  <si>
    <t>Formula</t>
  </si>
  <si>
    <t>Email open rate</t>
  </si>
  <si>
    <t>Opens / sent</t>
  </si>
  <si>
    <t>Click-through rate</t>
  </si>
  <si>
    <t>Clicks / sent</t>
  </si>
  <si>
    <t>Credential submission rate</t>
  </si>
  <si>
    <t>Credentials / sent</t>
  </si>
  <si>
    <t>Data entry rate</t>
  </si>
  <si>
    <t>Data entries / sent</t>
  </si>
  <si>
    <t>Open-to-click conversion</t>
  </si>
  <si>
    <t>Clicks / opens</t>
  </si>
  <si>
    <t>Post-click credential conversion</t>
  </si>
  <si>
    <t>Credentials / clicks</t>
  </si>
  <si>
    <t>Post-click data-entry conversion</t>
  </si>
  <si>
    <t>Data entries / clicks</t>
  </si>
  <si>
    <t>Measure</t>
  </si>
  <si>
    <t>Formula / result</t>
  </si>
  <si>
    <t>Interpretation</t>
  </si>
  <si>
    <t>Pooled credential rate</t>
  </si>
  <si>
    <t>105 / 430 = 24.42%</t>
  </si>
  <si>
    <t>Campaign B credential rate</t>
  </si>
  <si>
    <t>Highest campaign credential rate</t>
  </si>
  <si>
    <t>Campaign B projected credentials</t>
  </si>
  <si>
    <t>2,000 × 30% = 600</t>
  </si>
  <si>
    <t>Expected breach events (simplified)</t>
  </si>
  <si>
    <t>600 × 25% = 150; assumes independent events</t>
  </si>
  <si>
    <t>Campaign B scenario loss</t>
  </si>
  <si>
    <t>150 × $4.35m = $652.5m; not validated ALE</t>
  </si>
  <si>
    <t>Campaign A projected credentials</t>
  </si>
  <si>
    <t>360</t>
  </si>
  <si>
    <t>Campaign A expected events</t>
  </si>
  <si>
    <t>90</t>
  </si>
  <si>
    <t>Campaign A scenario loss</t>
  </si>
  <si>
    <t>Corrected: $391.5m</t>
  </si>
  <si>
    <t>Campaign C projected credentials</t>
  </si>
  <si>
    <t>300</t>
  </si>
  <si>
    <t>Campaign C expected events</t>
  </si>
  <si>
    <t>75</t>
  </si>
  <si>
    <t>Campaign C scenario loss</t>
  </si>
  <si>
    <t>Corrected: $326.25m</t>
  </si>
  <si>
    <t>Pooled projected credentials</t>
  </si>
  <si>
    <t>About 488.4</t>
  </si>
  <si>
    <t>Pooled expected events</t>
  </si>
  <si>
    <t>About 122.1</t>
  </si>
  <si>
    <t>Pooled scenario loss</t>
  </si>
  <si>
    <t>About $531.1m</t>
  </si>
  <si>
    <t>Annual occurrence rate</t>
  </si>
  <si>
    <t>Not supplied</t>
  </si>
  <si>
    <t>Cannot calculate defensible ALE without annual event frequency.</t>
  </si>
  <si>
    <t>Control scenario</t>
  </si>
  <si>
    <t>Cost USD</t>
  </si>
  <si>
    <t>Baseline loss USD</t>
  </si>
  <si>
    <t>Assumed reduction</t>
  </si>
  <si>
    <t>Gross reduction USD</t>
  </si>
  <si>
    <t>Net benefit USD</t>
  </si>
  <si>
    <t>Simple ROI</t>
  </si>
  <si>
    <t>Caveat</t>
  </si>
  <si>
    <t>MFA</t>
  </si>
  <si>
    <t>99.9% is assumed; only applies if losses are credential-driven and preventable.</t>
  </si>
  <si>
    <t>Training (if credential rate falls 60%)</t>
  </si>
  <si>
    <t>Illustrative only; brief specifies click-rate reduction, not credential-rate reduction.</t>
  </si>
  <si>
    <t>Email filtering (illustrative)</t>
  </si>
  <si>
    <t>20% effectiveness is an unsupported illustrative assumption.</t>
  </si>
  <si>
    <t>Combined (illustrative multiplicative)</t>
  </si>
  <si>
    <t>Assumes independent effects; real controls may overlap.</t>
  </si>
  <si>
    <t>Campaign</t>
  </si>
  <si>
    <t>Credential submissions</t>
  </si>
  <si>
    <t>Rate</t>
  </si>
  <si>
    <t>95% MOE</t>
  </si>
  <si>
    <t>Lower</t>
  </si>
  <si>
    <t>Upper</t>
  </si>
  <si>
    <t>A</t>
  </si>
  <si>
    <t>B</t>
  </si>
  <si>
    <t>C</t>
  </si>
  <si>
    <t>A worked example</t>
  </si>
  <si>
    <t>p=.18; n=100</t>
  </si>
  <si>
    <t>MOE = 1.96 × √(.18×.82/100) = 7.53 pp</t>
  </si>
  <si>
    <t>10.47%</t>
  </si>
  <si>
    <t>25.53%</t>
  </si>
  <si>
    <t>Credential rate</t>
  </si>
  <si>
    <t>Projected credentials</t>
  </si>
  <si>
    <t>Expected events</t>
  </si>
  <si>
    <t>Scenario loss USD</t>
  </si>
  <si>
    <t>Priority</t>
  </si>
  <si>
    <t>Action</t>
  </si>
  <si>
    <t>2 - Medium-high</t>
  </si>
  <si>
    <t>HR-themed simulations and targeted coaching.</t>
  </si>
  <si>
    <t>1 - Highest</t>
  </si>
  <si>
    <t>Prioritise MFA, reset verification and risky sign-in alerts.</t>
  </si>
  <si>
    <t>2 - High</t>
  </si>
  <si>
    <t>Executive/assistant training and out-of-band verification.</t>
  </si>
  <si>
    <t>Calculation</t>
  </si>
  <si>
    <t>Investment</t>
  </si>
  <si>
    <t>Cost per breach</t>
  </si>
  <si>
    <t>Expected breaches to break even</t>
  </si>
  <si>
    <t>0.1126 expected breaches</t>
  </si>
  <si>
    <t>Whole breaches to cover investment</t>
  </si>
  <si>
    <t>At least one whole breach at assumed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</si>
</sst>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$&quot;#,##0.00"/>
    <numFmt numFmtId="166" formatCode="0.000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rgb="FF17365D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DEBF7"/>
        <bgColor rgb="FFDDEB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10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0" fillId="0" fontId="3" numFmtId="166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15.0"/>
    <col customWidth="1" min="3" max="26" width="8.71"/>
  </cols>
  <sheetData>
    <row r="1" ht="30.0" customHeight="1">
      <c r="A1" s="1" t="s">
        <v>0</v>
      </c>
      <c r="B1" s="1"/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4" width="17.0"/>
    <col customWidth="1" min="5" max="5" width="32.0"/>
    <col customWidth="1" min="6" max="26" width="8.71"/>
  </cols>
  <sheetData>
    <row r="1" ht="30.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4" t="s">
        <v>20</v>
      </c>
      <c r="B2" s="4">
        <v>100.0</v>
      </c>
      <c r="C2" s="4">
        <v>250.0</v>
      </c>
      <c r="D2" s="4">
        <v>80.0</v>
      </c>
      <c r="E2" s="4">
        <v>2000.0</v>
      </c>
    </row>
    <row r="3">
      <c r="A3" s="4" t="s">
        <v>21</v>
      </c>
      <c r="B3" s="4">
        <v>100.0</v>
      </c>
      <c r="C3" s="4">
        <v>250.0</v>
      </c>
      <c r="D3" s="4">
        <v>80.0</v>
      </c>
      <c r="E3" s="3"/>
    </row>
    <row r="4">
      <c r="A4" s="4" t="s">
        <v>22</v>
      </c>
      <c r="B4" s="4">
        <v>82.0</v>
      </c>
      <c r="C4" s="4">
        <v>200.0</v>
      </c>
      <c r="D4" s="4">
        <v>72.0</v>
      </c>
      <c r="E4" s="3"/>
    </row>
    <row r="5">
      <c r="A5" s="4" t="s">
        <v>23</v>
      </c>
      <c r="B5" s="4">
        <v>47.0</v>
      </c>
      <c r="C5" s="4">
        <v>150.0</v>
      </c>
      <c r="D5" s="4">
        <v>60.0</v>
      </c>
      <c r="E5" s="3"/>
    </row>
    <row r="6">
      <c r="A6" s="4" t="s">
        <v>24</v>
      </c>
      <c r="B6" s="4">
        <v>18.0</v>
      </c>
      <c r="C6" s="4">
        <v>75.0</v>
      </c>
      <c r="D6" s="4">
        <v>12.0</v>
      </c>
      <c r="E6" s="3"/>
    </row>
    <row r="7">
      <c r="A7" s="4" t="s">
        <v>25</v>
      </c>
      <c r="B7" s="4">
        <v>5.0</v>
      </c>
      <c r="C7" s="4">
        <v>25.0</v>
      </c>
      <c r="D7" s="4">
        <v>8.0</v>
      </c>
      <c r="E7" s="3"/>
    </row>
    <row r="8">
      <c r="A8" s="4" t="s">
        <v>26</v>
      </c>
      <c r="B8" s="3"/>
      <c r="C8" s="3"/>
      <c r="D8" s="3"/>
      <c r="E8" s="4">
        <v>85000.0</v>
      </c>
    </row>
    <row r="9">
      <c r="A9" s="4" t="s">
        <v>27</v>
      </c>
      <c r="B9" s="3"/>
      <c r="C9" s="3"/>
      <c r="D9" s="3"/>
      <c r="E9" s="4">
        <v>4350000.0</v>
      </c>
    </row>
    <row r="10">
      <c r="A10" s="4" t="s">
        <v>28</v>
      </c>
      <c r="B10" s="3"/>
      <c r="C10" s="3"/>
      <c r="D10" s="3"/>
      <c r="E10" s="4">
        <v>0.25</v>
      </c>
    </row>
    <row r="11">
      <c r="A11" s="4" t="s">
        <v>29</v>
      </c>
      <c r="B11" s="3"/>
      <c r="C11" s="3"/>
      <c r="D11" s="3"/>
      <c r="E11" s="4">
        <v>45.0</v>
      </c>
    </row>
    <row r="12">
      <c r="A12" s="4" t="s">
        <v>30</v>
      </c>
      <c r="B12" s="3"/>
      <c r="C12" s="3"/>
      <c r="D12" s="3"/>
      <c r="E12" s="4">
        <v>0.999</v>
      </c>
    </row>
    <row r="13">
      <c r="A13" s="4" t="s">
        <v>31</v>
      </c>
      <c r="B13" s="3"/>
      <c r="C13" s="3"/>
      <c r="D13" s="3"/>
      <c r="E13" s="4">
        <v>50.0</v>
      </c>
    </row>
    <row r="14">
      <c r="A14" s="4" t="s">
        <v>32</v>
      </c>
      <c r="B14" s="3"/>
      <c r="C14" s="3"/>
      <c r="D14" s="3"/>
      <c r="E14" s="4">
        <v>0.6</v>
      </c>
    </row>
    <row r="15">
      <c r="A15" s="4" t="s">
        <v>33</v>
      </c>
      <c r="B15" s="3"/>
      <c r="C15" s="3"/>
      <c r="D15" s="3"/>
      <c r="E15" s="4">
        <v>50000.0</v>
      </c>
    </row>
    <row r="16">
      <c r="A16" s="4" t="s">
        <v>34</v>
      </c>
      <c r="B16" s="3"/>
      <c r="C16" s="3"/>
      <c r="D16" s="3"/>
      <c r="E16" s="4">
        <v>0.2</v>
      </c>
    </row>
    <row r="17">
      <c r="A17" s="4" t="s">
        <v>35</v>
      </c>
      <c r="B17" s="3"/>
      <c r="C17" s="3"/>
      <c r="D17" s="3"/>
      <c r="E17" s="4">
        <v>490000.0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4" width="18.0"/>
    <col customWidth="1" min="5" max="5" width="38.0"/>
    <col customWidth="1" min="6" max="26" width="8.71"/>
  </cols>
  <sheetData>
    <row r="1" ht="30.0" customHeight="1">
      <c r="A1" s="1" t="s">
        <v>36</v>
      </c>
      <c r="B1" s="1" t="s">
        <v>16</v>
      </c>
      <c r="C1" s="1" t="s">
        <v>17</v>
      </c>
      <c r="D1" s="1" t="s">
        <v>18</v>
      </c>
      <c r="E1" s="1" t="s">
        <v>37</v>
      </c>
    </row>
    <row r="2">
      <c r="A2" s="3" t="s">
        <v>38</v>
      </c>
      <c r="B2" s="5">
        <f>Inputs!B4/Inputs!B3</f>
        <v>0.82</v>
      </c>
      <c r="C2" s="5">
        <f>Inputs!C4/Inputs!C3</f>
        <v>0.8</v>
      </c>
      <c r="D2" s="5">
        <f>Inputs!D4/Inputs!D3</f>
        <v>0.9</v>
      </c>
      <c r="E2" s="3" t="s">
        <v>39</v>
      </c>
    </row>
    <row r="3">
      <c r="A3" s="3" t="s">
        <v>40</v>
      </c>
      <c r="B3" s="5">
        <f>Inputs!B5/Inputs!B3</f>
        <v>0.47</v>
      </c>
      <c r="C3" s="5">
        <f>Inputs!C5/Inputs!C3</f>
        <v>0.6</v>
      </c>
      <c r="D3" s="5">
        <f>Inputs!D5/Inputs!D3</f>
        <v>0.75</v>
      </c>
      <c r="E3" s="3" t="s">
        <v>41</v>
      </c>
    </row>
    <row r="4">
      <c r="A4" s="3" t="s">
        <v>42</v>
      </c>
      <c r="B4" s="5">
        <f>Inputs!B6/Inputs!B3</f>
        <v>0.18</v>
      </c>
      <c r="C4" s="5">
        <f>Inputs!C6/Inputs!C3</f>
        <v>0.3</v>
      </c>
      <c r="D4" s="5">
        <f>Inputs!D6/Inputs!D3</f>
        <v>0.15</v>
      </c>
      <c r="E4" s="3" t="s">
        <v>43</v>
      </c>
    </row>
    <row r="5">
      <c r="A5" s="3" t="s">
        <v>44</v>
      </c>
      <c r="B5" s="5">
        <f>Inputs!B7/Inputs!B3</f>
        <v>0.05</v>
      </c>
      <c r="C5" s="5">
        <f>Inputs!C7/Inputs!C3</f>
        <v>0.1</v>
      </c>
      <c r="D5" s="5">
        <f>Inputs!D7/Inputs!D3</f>
        <v>0.1</v>
      </c>
      <c r="E5" s="3" t="s">
        <v>45</v>
      </c>
    </row>
    <row r="6">
      <c r="A6" s="3" t="s">
        <v>46</v>
      </c>
      <c r="B6" s="5">
        <f>Inputs!B5/Inputs!B4</f>
        <v>0.5731707317</v>
      </c>
      <c r="C6" s="5">
        <f>Inputs!C5/Inputs!C4</f>
        <v>0.75</v>
      </c>
      <c r="D6" s="5">
        <f>Inputs!D5/Inputs!D4</f>
        <v>0.8333333333</v>
      </c>
      <c r="E6" s="3" t="s">
        <v>47</v>
      </c>
    </row>
    <row r="7">
      <c r="A7" s="3" t="s">
        <v>48</v>
      </c>
      <c r="B7" s="5">
        <f>Inputs!B6/Inputs!B5</f>
        <v>0.3829787234</v>
      </c>
      <c r="C7" s="5">
        <f>Inputs!C6/Inputs!C5</f>
        <v>0.5</v>
      </c>
      <c r="D7" s="5">
        <f>Inputs!D6/Inputs!D5</f>
        <v>0.2</v>
      </c>
      <c r="E7" s="3" t="s">
        <v>49</v>
      </c>
    </row>
    <row r="8">
      <c r="A8" s="3" t="s">
        <v>50</v>
      </c>
      <c r="B8" s="5">
        <f>Inputs!B7/Inputs!B5</f>
        <v>0.1063829787</v>
      </c>
      <c r="C8" s="5">
        <f>Inputs!C7/Inputs!C5</f>
        <v>0.1666666667</v>
      </c>
      <c r="D8" s="5">
        <f>Inputs!D7/Inputs!D5</f>
        <v>0.1333333333</v>
      </c>
      <c r="E8" s="3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30.0"/>
    <col customWidth="1" min="3" max="3" width="65.0"/>
    <col customWidth="1" min="4" max="26" width="8.71"/>
  </cols>
  <sheetData>
    <row r="1" ht="30.0" customHeight="1">
      <c r="A1" s="1" t="s">
        <v>52</v>
      </c>
      <c r="B1" s="1" t="s">
        <v>53</v>
      </c>
      <c r="C1" s="1" t="s">
        <v>54</v>
      </c>
    </row>
    <row r="2">
      <c r="A2" s="3" t="s">
        <v>55</v>
      </c>
      <c r="B2" s="6">
        <f>(Inputs!B6+Inputs!C6+Inputs!D6)/(Inputs!B3+Inputs!C3+Inputs!D3)</f>
        <v>0.2441860465</v>
      </c>
      <c r="C2" s="3" t="s">
        <v>56</v>
      </c>
    </row>
    <row r="3">
      <c r="A3" s="3" t="s">
        <v>57</v>
      </c>
      <c r="B3" s="6">
        <f>'Phase 1 Metrics'!C4</f>
        <v>0.3</v>
      </c>
      <c r="C3" s="3" t="s">
        <v>58</v>
      </c>
    </row>
    <row r="4">
      <c r="A4" s="3" t="s">
        <v>59</v>
      </c>
      <c r="B4" s="7">
        <f>Inputs!E2*B3</f>
        <v>600</v>
      </c>
      <c r="C4" s="3" t="s">
        <v>60</v>
      </c>
    </row>
    <row r="5">
      <c r="A5" s="3" t="s">
        <v>61</v>
      </c>
      <c r="B5" s="7">
        <f>B4*Inputs!E10</f>
        <v>150</v>
      </c>
      <c r="C5" s="3" t="s">
        <v>62</v>
      </c>
    </row>
    <row r="6">
      <c r="A6" s="3" t="s">
        <v>63</v>
      </c>
      <c r="B6" s="7">
        <f>B5*Inputs!E9</f>
        <v>652500000</v>
      </c>
      <c r="C6" s="3" t="s">
        <v>64</v>
      </c>
    </row>
    <row r="7">
      <c r="A7" s="3" t="s">
        <v>65</v>
      </c>
      <c r="B7" s="7">
        <f>Inputs!E2*'Phase 1 Metrics'!B4</f>
        <v>360</v>
      </c>
      <c r="C7" s="3" t="s">
        <v>66</v>
      </c>
    </row>
    <row r="8">
      <c r="A8" s="3" t="s">
        <v>67</v>
      </c>
      <c r="B8" s="7">
        <f>B7*Inputs!E10</f>
        <v>90</v>
      </c>
      <c r="C8" s="3" t="s">
        <v>68</v>
      </c>
    </row>
    <row r="9">
      <c r="A9" s="3" t="s">
        <v>69</v>
      </c>
      <c r="B9" s="7">
        <f>B8*Inputs!E9</f>
        <v>391500000</v>
      </c>
      <c r="C9" s="3" t="s">
        <v>70</v>
      </c>
    </row>
    <row r="10">
      <c r="A10" s="3" t="s">
        <v>71</v>
      </c>
      <c r="B10" s="7">
        <f>Inputs!E2*'Phase 1 Metrics'!D4</f>
        <v>300</v>
      </c>
      <c r="C10" s="3" t="s">
        <v>72</v>
      </c>
    </row>
    <row r="11">
      <c r="A11" s="3" t="s">
        <v>73</v>
      </c>
      <c r="B11" s="7">
        <f>B10*Inputs!E10</f>
        <v>75</v>
      </c>
      <c r="C11" s="3" t="s">
        <v>74</v>
      </c>
    </row>
    <row r="12">
      <c r="A12" s="3" t="s">
        <v>75</v>
      </c>
      <c r="B12" s="7">
        <f>B11*Inputs!E9</f>
        <v>326250000</v>
      </c>
      <c r="C12" s="3" t="s">
        <v>76</v>
      </c>
    </row>
    <row r="13">
      <c r="A13" s="3" t="s">
        <v>77</v>
      </c>
      <c r="B13" s="7">
        <f>Inputs!E2*B2</f>
        <v>488.372093</v>
      </c>
      <c r="C13" s="3" t="s">
        <v>78</v>
      </c>
    </row>
    <row r="14">
      <c r="A14" s="3" t="s">
        <v>79</v>
      </c>
      <c r="B14" s="7">
        <f>B13*Inputs!E10</f>
        <v>122.0930233</v>
      </c>
      <c r="C14" s="3" t="s">
        <v>80</v>
      </c>
    </row>
    <row r="15">
      <c r="A15" s="3" t="s">
        <v>81</v>
      </c>
      <c r="B15" s="7">
        <f>B14*Inputs!E9</f>
        <v>531104651.2</v>
      </c>
      <c r="C15" s="3" t="s">
        <v>82</v>
      </c>
    </row>
    <row r="16">
      <c r="A16" s="3" t="s">
        <v>83</v>
      </c>
      <c r="B16" s="7" t="s">
        <v>84</v>
      </c>
      <c r="C16" s="3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18.0"/>
    <col customWidth="1" min="3" max="3" width="22.0"/>
    <col customWidth="1" min="4" max="4" width="18.0"/>
    <col customWidth="1" min="5" max="6" width="22.0"/>
    <col customWidth="1" min="7" max="7" width="18.0"/>
    <col customWidth="1" min="8" max="8" width="78.0"/>
    <col customWidth="1" min="9" max="26" width="8.71"/>
  </cols>
  <sheetData>
    <row r="1" ht="30.0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</row>
    <row r="2">
      <c r="A2" s="3" t="s">
        <v>94</v>
      </c>
      <c r="B2" s="7">
        <f>Inputs!E11*Inputs!E2</f>
        <v>90000</v>
      </c>
      <c r="C2" s="7">
        <f>'Risk Quantification'!B6</f>
        <v>652500000</v>
      </c>
      <c r="D2" s="5">
        <f>Inputs!E12</f>
        <v>0.999</v>
      </c>
      <c r="E2" s="7">
        <f t="shared" ref="E2:E5" si="1">C2*D2</f>
        <v>651847500</v>
      </c>
      <c r="F2" s="7">
        <f t="shared" ref="F2:F5" si="2">E2-B2</f>
        <v>651757500</v>
      </c>
      <c r="G2" s="5">
        <f t="shared" ref="G2:G5" si="3">(E2-B2)/B2</f>
        <v>7241.75</v>
      </c>
      <c r="H2" s="3" t="s">
        <v>95</v>
      </c>
    </row>
    <row r="3">
      <c r="A3" s="3" t="s">
        <v>96</v>
      </c>
      <c r="B3" s="7">
        <f>Inputs!E13*Inputs!E2</f>
        <v>100000</v>
      </c>
      <c r="C3" s="7">
        <f>'Risk Quantification'!B6</f>
        <v>652500000</v>
      </c>
      <c r="D3" s="5">
        <f>Inputs!E14</f>
        <v>0.6</v>
      </c>
      <c r="E3" s="7">
        <f t="shared" si="1"/>
        <v>391500000</v>
      </c>
      <c r="F3" s="7">
        <f t="shared" si="2"/>
        <v>391400000</v>
      </c>
      <c r="G3" s="5">
        <f t="shared" si="3"/>
        <v>3914</v>
      </c>
      <c r="H3" s="3" t="s">
        <v>97</v>
      </c>
    </row>
    <row r="4">
      <c r="A4" s="3" t="s">
        <v>98</v>
      </c>
      <c r="B4" s="7">
        <f>Inputs!E15</f>
        <v>50000</v>
      </c>
      <c r="C4" s="7">
        <f>'Risk Quantification'!B6</f>
        <v>652500000</v>
      </c>
      <c r="D4" s="5">
        <f>Inputs!E16</f>
        <v>0.2</v>
      </c>
      <c r="E4" s="7">
        <f t="shared" si="1"/>
        <v>130500000</v>
      </c>
      <c r="F4" s="7">
        <f t="shared" si="2"/>
        <v>130450000</v>
      </c>
      <c r="G4" s="5">
        <f t="shared" si="3"/>
        <v>2609</v>
      </c>
      <c r="H4" s="3" t="s">
        <v>99</v>
      </c>
    </row>
    <row r="5">
      <c r="A5" s="3" t="s">
        <v>100</v>
      </c>
      <c r="B5" s="7">
        <f>SUM(B2:B4)</f>
        <v>240000</v>
      </c>
      <c r="C5" s="7">
        <f>'Risk Quantification'!B6</f>
        <v>652500000</v>
      </c>
      <c r="D5" s="5">
        <f>1-(1-D2)*(1-D3)*(1-D4)</f>
        <v>0.99968</v>
      </c>
      <c r="E5" s="7">
        <f t="shared" si="1"/>
        <v>652291200</v>
      </c>
      <c r="F5" s="7">
        <f t="shared" si="2"/>
        <v>652051200</v>
      </c>
      <c r="G5" s="5">
        <f t="shared" si="3"/>
        <v>2716.88</v>
      </c>
      <c r="H5" s="3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5.0"/>
    <col customWidth="1" min="3" max="4" width="18.0"/>
    <col customWidth="1" min="5" max="5" width="35.0"/>
    <col customWidth="1" min="6" max="7" width="18.0"/>
    <col customWidth="1" min="8" max="26" width="8.71"/>
  </cols>
  <sheetData>
    <row r="1" ht="30.0" customHeight="1">
      <c r="A1" s="1" t="s">
        <v>102</v>
      </c>
      <c r="B1" s="1" t="s">
        <v>103</v>
      </c>
      <c r="C1" s="1" t="s">
        <v>21</v>
      </c>
      <c r="D1" s="1" t="s">
        <v>104</v>
      </c>
      <c r="E1" s="1" t="s">
        <v>105</v>
      </c>
      <c r="F1" s="1" t="s">
        <v>106</v>
      </c>
      <c r="G1" s="1" t="s">
        <v>107</v>
      </c>
    </row>
    <row r="2">
      <c r="A2" s="3" t="s">
        <v>108</v>
      </c>
      <c r="B2" s="3">
        <f>Inputs!B6</f>
        <v>18</v>
      </c>
      <c r="C2" s="3">
        <f>Inputs!B3</f>
        <v>100</v>
      </c>
      <c r="D2" s="6">
        <f t="shared" ref="D2:D4" si="1">B2/C2</f>
        <v>0.18</v>
      </c>
      <c r="E2" s="6">
        <f t="shared" ref="E2:E4" si="2">1.96*SQRT(D2*(1-D2)/C2)</f>
        <v>0.07530074103</v>
      </c>
      <c r="F2" s="6">
        <f t="shared" ref="F2:F4" si="3">D2-E2</f>
        <v>0.104699259</v>
      </c>
      <c r="G2" s="6">
        <f t="shared" ref="G2:G4" si="4">D2+E2</f>
        <v>0.255300741</v>
      </c>
    </row>
    <row r="3">
      <c r="A3" s="3" t="s">
        <v>109</v>
      </c>
      <c r="B3" s="3">
        <f>Inputs!C6</f>
        <v>75</v>
      </c>
      <c r="C3" s="3">
        <f>Inputs!C3</f>
        <v>250</v>
      </c>
      <c r="D3" s="6">
        <f t="shared" si="1"/>
        <v>0.3</v>
      </c>
      <c r="E3" s="6">
        <f t="shared" si="2"/>
        <v>0.05680619685</v>
      </c>
      <c r="F3" s="6">
        <f t="shared" si="3"/>
        <v>0.2431938032</v>
      </c>
      <c r="G3" s="6">
        <f t="shared" si="4"/>
        <v>0.3568061968</v>
      </c>
    </row>
    <row r="4">
      <c r="A4" s="3" t="s">
        <v>110</v>
      </c>
      <c r="B4" s="3">
        <f>Inputs!D6</f>
        <v>12</v>
      </c>
      <c r="C4" s="3">
        <f>Inputs!D3</f>
        <v>80</v>
      </c>
      <c r="D4" s="6">
        <f t="shared" si="1"/>
        <v>0.15</v>
      </c>
      <c r="E4" s="6">
        <f t="shared" si="2"/>
        <v>0.07824672517</v>
      </c>
      <c r="F4" s="6">
        <f t="shared" si="3"/>
        <v>0.07175327483</v>
      </c>
      <c r="G4" s="6">
        <f t="shared" si="4"/>
        <v>0.2282467252</v>
      </c>
    </row>
    <row r="5">
      <c r="A5" s="3" t="s">
        <v>111</v>
      </c>
      <c r="B5" s="3"/>
      <c r="C5" s="3"/>
      <c r="D5" s="3" t="s">
        <v>112</v>
      </c>
      <c r="E5" s="3" t="s">
        <v>113</v>
      </c>
      <c r="F5" s="3" t="s">
        <v>114</v>
      </c>
      <c r="G5" s="3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8.0"/>
    <col customWidth="1" min="3" max="3" width="24.0"/>
    <col customWidth="1" min="4" max="4" width="20.0"/>
    <col customWidth="1" min="5" max="5" width="22.0"/>
    <col customWidth="1" min="6" max="6" width="20.0"/>
    <col customWidth="1" min="7" max="7" width="75.0"/>
    <col customWidth="1" min="8" max="26" width="8.71"/>
  </cols>
  <sheetData>
    <row r="1" ht="30.0" customHeight="1">
      <c r="A1" s="1" t="s">
        <v>102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>
      <c r="A2" s="3" t="s">
        <v>108</v>
      </c>
      <c r="B2" s="5">
        <f>'Phase 1 Metrics'!B4</f>
        <v>0.18</v>
      </c>
      <c r="C2" s="7">
        <f>Inputs!E2*B2</f>
        <v>360</v>
      </c>
      <c r="D2" s="7">
        <f>C2*Inputs!E10</f>
        <v>90</v>
      </c>
      <c r="E2" s="7">
        <f>D2*Inputs!E9</f>
        <v>391500000</v>
      </c>
      <c r="F2" s="3" t="s">
        <v>122</v>
      </c>
      <c r="G2" s="3" t="s">
        <v>123</v>
      </c>
    </row>
    <row r="3">
      <c r="A3" s="3" t="s">
        <v>109</v>
      </c>
      <c r="B3" s="5">
        <f>'Phase 1 Metrics'!C4</f>
        <v>0.3</v>
      </c>
      <c r="C3" s="7">
        <f>Inputs!E2*B3</f>
        <v>600</v>
      </c>
      <c r="D3" s="7">
        <f>C3*Inputs!E10</f>
        <v>150</v>
      </c>
      <c r="E3" s="7">
        <f>D3*Inputs!E9</f>
        <v>652500000</v>
      </c>
      <c r="F3" s="3" t="s">
        <v>124</v>
      </c>
      <c r="G3" s="3" t="s">
        <v>125</v>
      </c>
    </row>
    <row r="4">
      <c r="A4" s="3" t="s">
        <v>110</v>
      </c>
      <c r="B4" s="5">
        <f>'Phase 1 Metrics'!D4</f>
        <v>0.15</v>
      </c>
      <c r="C4" s="7">
        <f>Inputs!E2*B4</f>
        <v>300</v>
      </c>
      <c r="D4" s="7">
        <f>C4*Inputs!E10</f>
        <v>75</v>
      </c>
      <c r="E4" s="7">
        <f>D4*Inputs!E9</f>
        <v>326250000</v>
      </c>
      <c r="F4" s="3" t="s">
        <v>126</v>
      </c>
      <c r="G4" s="3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30.0"/>
    <col customWidth="1" min="3" max="3" width="65.0"/>
    <col customWidth="1" min="4" max="26" width="8.71"/>
  </cols>
  <sheetData>
    <row r="1" ht="30.0" customHeight="1">
      <c r="A1" s="1" t="s">
        <v>52</v>
      </c>
      <c r="B1" s="1" t="s">
        <v>128</v>
      </c>
      <c r="C1" s="1" t="s">
        <v>54</v>
      </c>
    </row>
    <row r="2">
      <c r="A2" s="3" t="s">
        <v>129</v>
      </c>
      <c r="B2" s="7">
        <f>Inputs!E17</f>
        <v>490000</v>
      </c>
      <c r="C2" s="3"/>
    </row>
    <row r="3">
      <c r="A3" s="3" t="s">
        <v>130</v>
      </c>
      <c r="B3" s="7">
        <f>Inputs!E9</f>
        <v>4350000</v>
      </c>
      <c r="C3" s="3"/>
    </row>
    <row r="4">
      <c r="A4" s="3" t="s">
        <v>131</v>
      </c>
      <c r="B4" s="8">
        <f>B2/B3</f>
        <v>0.1126436782</v>
      </c>
      <c r="C4" s="3" t="s">
        <v>132</v>
      </c>
    </row>
    <row r="5">
      <c r="A5" s="3" t="s">
        <v>133</v>
      </c>
      <c r="B5" s="3">
        <f>ROUNDUP(B4,0)</f>
        <v>1</v>
      </c>
      <c r="C5" s="3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2026-10-30T08:18:52Z</dcterms:created>
  <dc:creator>openpyxl</dc:creator>
</cp:coreProperties>
</file>